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3a5918c85d1f8d/Desktop/PE Comparable Project/"/>
    </mc:Choice>
  </mc:AlternateContent>
  <xr:revisionPtr revIDLastSave="0" documentId="8_{C4293140-B4E8-4B28-A210-C15E0A96921E}" xr6:coauthVersionLast="47" xr6:coauthVersionMax="47" xr10:uidLastSave="{00000000-0000-0000-0000-000000000000}"/>
  <bookViews>
    <workbookView xWindow="-108" yWindow="-108" windowWidth="23256" windowHeight="12456" xr2:uid="{7739807E-883C-4A13-83A0-38ABAB84D9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G2" i="1"/>
  <c r="F2" i="1"/>
  <c r="E2" i="1"/>
</calcChain>
</file>

<file path=xl/sharedStrings.xml><?xml version="1.0" encoding="utf-8"?>
<sst xmlns="http://schemas.openxmlformats.org/spreadsheetml/2006/main" count="12" uniqueCount="12">
  <si>
    <t>Company</t>
  </si>
  <si>
    <t>Share Price</t>
  </si>
  <si>
    <t>EPS</t>
  </si>
  <si>
    <t>PE Ratio</t>
  </si>
  <si>
    <t>TATA Motors</t>
  </si>
  <si>
    <t>Maruti Suzuki</t>
  </si>
  <si>
    <t>Mahindra &amp; Mahindra</t>
  </si>
  <si>
    <t>Ashok Leyland</t>
  </si>
  <si>
    <t>Industry PE</t>
  </si>
  <si>
    <t>Target Price</t>
  </si>
  <si>
    <t>Upside %</t>
  </si>
  <si>
    <t>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</si>
</sst>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1" fillId="0" borderId="0" xfId="0" applyNumberFormat="1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48172-A49E-47C0-A1BC-4B4D36D8F611}">
  <dimension ref="A1:H5"/>
  <sheetViews>
    <sheetView tabSelected="1" workbookViewId="0">
      <selection activeCell="H2" sqref="H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11</v>
      </c>
    </row>
    <row r="2" spans="1:8" x14ac:dyDescent="0.3">
      <c r="A2" t="s">
        <v>4</v>
      </c>
      <c r="B2" s="1">
        <v>490</v>
      </c>
      <c r="C2">
        <v>1.24</v>
      </c>
      <c r="D2">
        <v>396.23</v>
      </c>
      <c r="E2">
        <f>AVERAGE(D3,D4,D5)</f>
        <v>37.493333333333332</v>
      </c>
      <c r="F2">
        <f>C2*E2</f>
        <v>46.491733333333329</v>
      </c>
      <c r="G2">
        <f>(F2-B2)/B2</f>
        <v>-0.90511891156462587</v>
      </c>
      <c r="H2" t="str">
        <f>IF(F2&gt;B2,"Undervalued","Overvalued")</f>
        <v>Overvalued</v>
      </c>
    </row>
    <row r="3" spans="1:8" x14ac:dyDescent="0.3">
      <c r="A3" t="s">
        <v>7</v>
      </c>
      <c r="B3" s="2">
        <v>207.68</v>
      </c>
      <c r="C3">
        <v>6.14</v>
      </c>
      <c r="D3">
        <v>33.83</v>
      </c>
    </row>
    <row r="4" spans="1:8" x14ac:dyDescent="0.3">
      <c r="A4" t="s">
        <v>6</v>
      </c>
      <c r="B4" s="2">
        <v>5115.3</v>
      </c>
      <c r="C4">
        <v>109.6</v>
      </c>
      <c r="D4">
        <v>46.69</v>
      </c>
    </row>
    <row r="5" spans="1:8" x14ac:dyDescent="0.3">
      <c r="A5" t="s">
        <v>5</v>
      </c>
      <c r="B5" s="1">
        <v>15179</v>
      </c>
      <c r="C5">
        <v>474.9</v>
      </c>
      <c r="D5">
        <v>31.96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Bagul</dc:creator>
  <cp:lastModifiedBy>Yash Bagul</cp:lastModifiedBy>
  <dcterms:created xsi:type="dcterms:W3CDTF">2026-02-17T18:56:57Z</dcterms:created>
  <dcterms:modified xsi:type="dcterms:W3CDTF">2026-02-17T19:19:37Z</dcterms:modified>
</cp:coreProperties>
</file>